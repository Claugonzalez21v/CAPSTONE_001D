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onza\Downloads\"/>
    </mc:Choice>
  </mc:AlternateContent>
  <xr:revisionPtr revIDLastSave="0" documentId="13_ncr:1_{EF601CAD-67F3-43ED-A879-791C953FD2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jempl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1" l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B26" i="1"/>
  <c r="C26" i="1" l="1"/>
  <c r="C28" i="1"/>
  <c r="D28" i="1" s="1"/>
  <c r="B27" i="1" l="1"/>
  <c r="W24" i="1"/>
  <c r="B29" i="1"/>
  <c r="W22" i="1"/>
  <c r="E28" i="1" l="1"/>
  <c r="D29" i="1" s="1"/>
  <c r="C29" i="1"/>
  <c r="W19" i="1"/>
  <c r="W20" i="1"/>
  <c r="W21" i="1"/>
  <c r="F28" i="1" l="1"/>
  <c r="E29" i="1" s="1"/>
  <c r="G28" i="1" l="1"/>
  <c r="F29" i="1" s="1"/>
  <c r="H28" i="1" l="1"/>
  <c r="G29" i="1" s="1"/>
  <c r="I28" i="1" l="1"/>
  <c r="H29" i="1" s="1"/>
  <c r="J28" i="1" l="1"/>
  <c r="I29" i="1" s="1"/>
  <c r="K28" i="1" l="1"/>
  <c r="J29" i="1" s="1"/>
  <c r="L28" i="1" l="1"/>
  <c r="K29" i="1" s="1"/>
  <c r="M28" i="1" l="1"/>
  <c r="L29" i="1" s="1"/>
  <c r="N28" i="1" l="1"/>
  <c r="M29" i="1" s="1"/>
  <c r="O28" i="1" l="1"/>
  <c r="N29" i="1" s="1"/>
  <c r="P28" i="1" l="1"/>
  <c r="O29" i="1" s="1"/>
  <c r="Q28" i="1" l="1"/>
  <c r="P29" i="1" s="1"/>
  <c r="R28" i="1" l="1"/>
  <c r="Q29" i="1" s="1"/>
  <c r="S28" i="1" l="1"/>
  <c r="R29" i="1" s="1"/>
  <c r="T28" i="1" l="1"/>
  <c r="S29" i="1" s="1"/>
  <c r="U28" i="1" l="1"/>
  <c r="T29" i="1" s="1"/>
  <c r="V28" i="1" l="1"/>
  <c r="U29" i="1" s="1"/>
  <c r="W28" i="1" l="1"/>
  <c r="V29" i="1" s="1"/>
  <c r="D26" i="1"/>
  <c r="E26" i="1" s="1"/>
  <c r="W5" i="1"/>
  <c r="F26" i="1" l="1"/>
  <c r="D27" i="1"/>
  <c r="C27" i="1"/>
  <c r="G26" i="1" l="1"/>
  <c r="E27" i="1"/>
  <c r="F27" i="1" l="1"/>
  <c r="H26" i="1"/>
  <c r="G27" i="1" l="1"/>
  <c r="I26" i="1"/>
  <c r="H27" i="1" l="1"/>
  <c r="J26" i="1"/>
  <c r="I27" i="1" l="1"/>
  <c r="K26" i="1"/>
  <c r="L26" i="1" l="1"/>
  <c r="J27" i="1"/>
  <c r="M26" i="1" l="1"/>
  <c r="K27" i="1"/>
  <c r="N26" i="1" l="1"/>
  <c r="L27" i="1"/>
  <c r="O26" i="1" l="1"/>
  <c r="M27" i="1"/>
  <c r="N27" i="1" l="1"/>
  <c r="P26" i="1"/>
  <c r="O27" i="1" l="1"/>
  <c r="Q26" i="1"/>
  <c r="R26" i="1" l="1"/>
  <c r="P27" i="1"/>
  <c r="S26" i="1" l="1"/>
  <c r="Q27" i="1"/>
  <c r="R27" i="1" l="1"/>
  <c r="T26" i="1"/>
  <c r="U26" i="1" l="1"/>
  <c r="S27" i="1"/>
  <c r="V26" i="1" l="1"/>
  <c r="T27" i="1"/>
  <c r="W26" i="1" l="1"/>
  <c r="V27" i="1" s="1"/>
  <c r="U27" i="1"/>
</calcChain>
</file>

<file path=xl/sharedStrings.xml><?xml version="1.0" encoding="utf-8"?>
<sst xmlns="http://schemas.openxmlformats.org/spreadsheetml/2006/main" count="28" uniqueCount="28">
  <si>
    <t>horas estimadas</t>
  </si>
  <si>
    <t>DIA</t>
  </si>
  <si>
    <t>Total</t>
  </si>
  <si>
    <t>Modifique la zona con color verde</t>
  </si>
  <si>
    <t xml:space="preserve">Tareas </t>
  </si>
  <si>
    <t>Horas Reales de producto por realizar</t>
  </si>
  <si>
    <t>Horas Estimadas de producto por realizar</t>
  </si>
  <si>
    <t>Control del Sprint 1 de 20 días</t>
  </si>
  <si>
    <t>H1-T1</t>
  </si>
  <si>
    <t>H1-T2</t>
  </si>
  <si>
    <t>H1-T3</t>
  </si>
  <si>
    <t>H1-T4</t>
  </si>
  <si>
    <t>H1-T5</t>
  </si>
  <si>
    <t>H1-T6</t>
  </si>
  <si>
    <t>H1-T7</t>
  </si>
  <si>
    <t>H1-T8</t>
  </si>
  <si>
    <t>H1-T9</t>
  </si>
  <si>
    <t>H1-T10</t>
  </si>
  <si>
    <t>H1-T11</t>
  </si>
  <si>
    <t>H1-T12</t>
  </si>
  <si>
    <t>H1-T13</t>
  </si>
  <si>
    <t>H1-T14</t>
  </si>
  <si>
    <t>H1-T15</t>
  </si>
  <si>
    <t>H1-T16</t>
  </si>
  <si>
    <t>H1-T17</t>
  </si>
  <si>
    <t>H1-T18</t>
  </si>
  <si>
    <t>H1-T19</t>
  </si>
  <si>
    <t>H1-T20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</si>
</sst>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/>
    <xf numFmtId="0" fontId="0" fillId="2" borderId="3" xfId="0" applyFill="1" applyBorder="1"/>
    <xf numFmtId="0" fontId="0" fillId="0" borderId="3" xfId="0" applyBorder="1"/>
    <xf numFmtId="0" fontId="0" fillId="0" borderId="5" xfId="0" applyBorder="1"/>
    <xf numFmtId="0" fontId="0" fillId="0" borderId="2" xfId="0" applyBorder="1"/>
    <xf numFmtId="0" fontId="2" fillId="0" borderId="0" xfId="0" applyFont="1"/>
    <xf numFmtId="0" fontId="0" fillId="0" borderId="0" xfId="0" applyAlignment="1">
      <alignment wrapText="1"/>
    </xf>
    <xf numFmtId="0" fontId="0" fillId="3" borderId="4" xfId="0" applyFill="1" applyBorder="1" applyAlignment="1" applyProtection="1">
      <alignment horizontal="center" wrapText="1"/>
      <protection locked="0"/>
    </xf>
    <xf numFmtId="0" fontId="4" fillId="0" borderId="0" xfId="0" applyFont="1"/>
    <xf numFmtId="0" fontId="0" fillId="3" borderId="1" xfId="0" applyFill="1" applyBorder="1" applyProtection="1">
      <protection locked="0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L"/>
              <a:t>BurnDown Trabajo Pendiente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Ejemplo1!$A$27</c:f>
              <c:strCache>
                <c:ptCount val="1"/>
                <c:pt idx="0">
                  <c:v>Horas Reales de producto por realizar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Ejemplo1!$D$26:$W$26</c:f>
              <c:numCache>
                <c:formatCode>General</c:formatCode>
                <c:ptCount val="20"/>
                <c:pt idx="0">
                  <c:v>128</c:v>
                </c:pt>
                <c:pt idx="1">
                  <c:v>126</c:v>
                </c:pt>
                <c:pt idx="2">
                  <c:v>122</c:v>
                </c:pt>
                <c:pt idx="3">
                  <c:v>118</c:v>
                </c:pt>
                <c:pt idx="4">
                  <c:v>114</c:v>
                </c:pt>
                <c:pt idx="5">
                  <c:v>111</c:v>
                </c:pt>
                <c:pt idx="6">
                  <c:v>107</c:v>
                </c:pt>
                <c:pt idx="7">
                  <c:v>102</c:v>
                </c:pt>
                <c:pt idx="8">
                  <c:v>96</c:v>
                </c:pt>
                <c:pt idx="9">
                  <c:v>90</c:v>
                </c:pt>
                <c:pt idx="10">
                  <c:v>83</c:v>
                </c:pt>
                <c:pt idx="11">
                  <c:v>76</c:v>
                </c:pt>
                <c:pt idx="12">
                  <c:v>69</c:v>
                </c:pt>
                <c:pt idx="13">
                  <c:v>60</c:v>
                </c:pt>
                <c:pt idx="14">
                  <c:v>50</c:v>
                </c:pt>
                <c:pt idx="15">
                  <c:v>37</c:v>
                </c:pt>
                <c:pt idx="16">
                  <c:v>24</c:v>
                </c:pt>
                <c:pt idx="17">
                  <c:v>11</c:v>
                </c:pt>
                <c:pt idx="18">
                  <c:v>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45-4C18-8901-30686EE06CCD}"/>
            </c:ext>
          </c:extLst>
        </c:ser>
        <c:ser>
          <c:idx val="1"/>
          <c:order val="1"/>
          <c:tx>
            <c:strRef>
              <c:f>Ejemplo1!$A$29</c:f>
              <c:strCache>
                <c:ptCount val="1"/>
                <c:pt idx="0">
                  <c:v>Horas Estimadas de producto por realizar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Ejemplo1!$C$4:$V$4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Ejemplo1!$D$28:$W$28</c:f>
              <c:numCache>
                <c:formatCode>General</c:formatCode>
                <c:ptCount val="20"/>
                <c:pt idx="0">
                  <c:v>123.5</c:v>
                </c:pt>
                <c:pt idx="1">
                  <c:v>117</c:v>
                </c:pt>
                <c:pt idx="2">
                  <c:v>110.5</c:v>
                </c:pt>
                <c:pt idx="3">
                  <c:v>104</c:v>
                </c:pt>
                <c:pt idx="4">
                  <c:v>97.5</c:v>
                </c:pt>
                <c:pt idx="5">
                  <c:v>91</c:v>
                </c:pt>
                <c:pt idx="6">
                  <c:v>84.5</c:v>
                </c:pt>
                <c:pt idx="7">
                  <c:v>78</c:v>
                </c:pt>
                <c:pt idx="8">
                  <c:v>71.5</c:v>
                </c:pt>
                <c:pt idx="9">
                  <c:v>65</c:v>
                </c:pt>
                <c:pt idx="10">
                  <c:v>58.5</c:v>
                </c:pt>
                <c:pt idx="11">
                  <c:v>52</c:v>
                </c:pt>
                <c:pt idx="12">
                  <c:v>45.5</c:v>
                </c:pt>
                <c:pt idx="13">
                  <c:v>39</c:v>
                </c:pt>
                <c:pt idx="14">
                  <c:v>32.5</c:v>
                </c:pt>
                <c:pt idx="15">
                  <c:v>26</c:v>
                </c:pt>
                <c:pt idx="16">
                  <c:v>19.5</c:v>
                </c:pt>
                <c:pt idx="17">
                  <c:v>13</c:v>
                </c:pt>
                <c:pt idx="18">
                  <c:v>6.5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45-4C18-8901-30686EE06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559392"/>
        <c:axId val="341559784"/>
      </c:lineChart>
      <c:catAx>
        <c:axId val="34155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41559784"/>
        <c:crosses val="autoZero"/>
        <c:auto val="1"/>
        <c:lblAlgn val="ctr"/>
        <c:lblOffset val="100"/>
        <c:noMultiLvlLbl val="0"/>
      </c:catAx>
      <c:valAx>
        <c:axId val="341559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4155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161925</xdr:colOff>
      <xdr:row>1</xdr:row>
      <xdr:rowOff>147637</xdr:rowOff>
    </xdr:from>
    <xdr:to>
      <xdr:col>28</xdr:col>
      <xdr:colOff>114300</xdr:colOff>
      <xdr:row>32</xdr:row>
      <xdr:rowOff>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W39"/>
  <sheetViews>
    <sheetView tabSelected="1" zoomScale="80" zoomScaleNormal="80" workbookViewId="0">
      <selection activeCell="B8" sqref="B8"/>
    </sheetView>
  </sheetViews>
  <sheetFormatPr baseColWidth="10" defaultRowHeight="14.4" x14ac:dyDescent="0.3"/>
  <cols>
    <col min="1" max="1" width="26.33203125" customWidth="1"/>
    <col min="2" max="2" width="17" customWidth="1"/>
    <col min="3" max="6" width="3.6640625" bestFit="1" customWidth="1"/>
    <col min="7" max="7" width="4.44140625" customWidth="1"/>
    <col min="8" max="22" width="3.44140625" customWidth="1"/>
  </cols>
  <sheetData>
    <row r="1" spans="1:23" ht="21" x14ac:dyDescent="0.4">
      <c r="A1" s="2" t="s">
        <v>7</v>
      </c>
      <c r="G1" t="s">
        <v>3</v>
      </c>
    </row>
    <row r="3" spans="1:23" x14ac:dyDescent="0.3">
      <c r="A3" s="12" t="s">
        <v>4</v>
      </c>
      <c r="B3" s="12" t="s">
        <v>0</v>
      </c>
      <c r="C3" s="12" t="s">
        <v>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3" t="s">
        <v>2</v>
      </c>
    </row>
    <row r="4" spans="1:23" x14ac:dyDescent="0.3">
      <c r="A4" s="12"/>
      <c r="B4" s="12"/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14"/>
    </row>
    <row r="5" spans="1:23" x14ac:dyDescent="0.3">
      <c r="A5" s="11" t="s">
        <v>8</v>
      </c>
      <c r="B5" s="9">
        <v>8</v>
      </c>
      <c r="C5" s="11">
        <v>2</v>
      </c>
      <c r="D5" s="11">
        <v>2</v>
      </c>
      <c r="E5" s="11">
        <v>2</v>
      </c>
      <c r="F5" s="11">
        <v>2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4">
        <f t="shared" ref="W5:W22" si="0">SUM(C5:V5)</f>
        <v>8</v>
      </c>
    </row>
    <row r="6" spans="1:23" x14ac:dyDescent="0.3">
      <c r="A6" s="11" t="s">
        <v>9</v>
      </c>
      <c r="B6" s="9">
        <v>6</v>
      </c>
      <c r="C6" s="11">
        <v>0</v>
      </c>
      <c r="D6" s="11">
        <v>0</v>
      </c>
      <c r="E6" s="11">
        <v>2</v>
      </c>
      <c r="F6" s="11">
        <v>2</v>
      </c>
      <c r="G6" s="11">
        <v>2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5">
        <f t="shared" si="0"/>
        <v>6</v>
      </c>
    </row>
    <row r="7" spans="1:23" x14ac:dyDescent="0.3">
      <c r="A7" s="11" t="s">
        <v>10</v>
      </c>
      <c r="B7" s="9">
        <v>10</v>
      </c>
      <c r="C7" s="11">
        <v>0</v>
      </c>
      <c r="D7" s="11">
        <v>0</v>
      </c>
      <c r="E7" s="11">
        <v>0</v>
      </c>
      <c r="F7" s="11">
        <v>0</v>
      </c>
      <c r="G7" s="11">
        <v>2</v>
      </c>
      <c r="H7" s="11">
        <v>2</v>
      </c>
      <c r="I7" s="11">
        <v>2</v>
      </c>
      <c r="J7" s="11">
        <v>2</v>
      </c>
      <c r="K7" s="11">
        <v>2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5">
        <f t="shared" si="0"/>
        <v>10</v>
      </c>
    </row>
    <row r="8" spans="1:23" x14ac:dyDescent="0.3">
      <c r="A8" s="11" t="s">
        <v>11</v>
      </c>
      <c r="B8" s="9">
        <v>6</v>
      </c>
      <c r="C8" s="11">
        <v>0</v>
      </c>
      <c r="D8" s="11">
        <v>0</v>
      </c>
      <c r="E8" s="11">
        <v>0</v>
      </c>
      <c r="F8" s="11"/>
      <c r="G8" s="11">
        <v>0</v>
      </c>
      <c r="H8" s="11">
        <v>1</v>
      </c>
      <c r="I8" s="11">
        <v>1</v>
      </c>
      <c r="J8" s="11">
        <v>1</v>
      </c>
      <c r="K8" s="11">
        <v>1</v>
      </c>
      <c r="L8" s="11">
        <v>1</v>
      </c>
      <c r="M8" s="11">
        <v>1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5">
        <f t="shared" si="0"/>
        <v>6</v>
      </c>
    </row>
    <row r="9" spans="1:23" x14ac:dyDescent="0.3">
      <c r="A9" s="11" t="s">
        <v>12</v>
      </c>
      <c r="B9" s="9">
        <v>6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1</v>
      </c>
      <c r="J9" s="11">
        <v>1</v>
      </c>
      <c r="K9" s="11">
        <v>1</v>
      </c>
      <c r="L9" s="11">
        <v>1</v>
      </c>
      <c r="M9" s="11">
        <v>1</v>
      </c>
      <c r="N9" s="11">
        <v>1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5">
        <f t="shared" si="0"/>
        <v>6</v>
      </c>
    </row>
    <row r="10" spans="1:23" x14ac:dyDescent="0.3">
      <c r="A10" s="11" t="s">
        <v>13</v>
      </c>
      <c r="B10" s="9">
        <v>6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1</v>
      </c>
      <c r="K10" s="11">
        <v>1</v>
      </c>
      <c r="L10" s="11">
        <v>1</v>
      </c>
      <c r="M10" s="11">
        <v>1</v>
      </c>
      <c r="N10" s="11">
        <v>1</v>
      </c>
      <c r="O10" s="11">
        <v>1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5">
        <f t="shared" si="0"/>
        <v>6</v>
      </c>
    </row>
    <row r="11" spans="1:23" x14ac:dyDescent="0.3">
      <c r="A11" s="11" t="s">
        <v>14</v>
      </c>
      <c r="B11" s="9">
        <v>10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1</v>
      </c>
      <c r="L11" s="11">
        <v>1</v>
      </c>
      <c r="M11" s="11">
        <v>1</v>
      </c>
      <c r="N11" s="11">
        <v>1</v>
      </c>
      <c r="O11" s="11">
        <v>1</v>
      </c>
      <c r="P11" s="11">
        <v>1</v>
      </c>
      <c r="Q11" s="11">
        <v>1</v>
      </c>
      <c r="R11" s="11">
        <v>1</v>
      </c>
      <c r="S11" s="11">
        <v>1</v>
      </c>
      <c r="T11" s="11">
        <v>1</v>
      </c>
      <c r="U11" s="11">
        <v>0</v>
      </c>
      <c r="V11" s="11">
        <v>0</v>
      </c>
      <c r="W11" s="5">
        <f t="shared" si="0"/>
        <v>10</v>
      </c>
    </row>
    <row r="12" spans="1:23" x14ac:dyDescent="0.3">
      <c r="A12" s="11" t="s">
        <v>15</v>
      </c>
      <c r="B12" s="9">
        <v>6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1</v>
      </c>
      <c r="M12" s="11">
        <v>1</v>
      </c>
      <c r="N12" s="11">
        <v>1</v>
      </c>
      <c r="O12" s="11">
        <v>1</v>
      </c>
      <c r="P12" s="11">
        <v>1</v>
      </c>
      <c r="Q12" s="11">
        <v>1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5">
        <f t="shared" si="0"/>
        <v>6</v>
      </c>
    </row>
    <row r="13" spans="1:23" x14ac:dyDescent="0.3">
      <c r="A13" s="11" t="s">
        <v>16</v>
      </c>
      <c r="B13" s="9">
        <v>6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1</v>
      </c>
      <c r="M13" s="11">
        <v>1</v>
      </c>
      <c r="N13" s="11">
        <v>1</v>
      </c>
      <c r="O13" s="11">
        <v>1</v>
      </c>
      <c r="P13" s="11">
        <v>1</v>
      </c>
      <c r="Q13" s="11">
        <v>1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5">
        <f t="shared" si="0"/>
        <v>6</v>
      </c>
    </row>
    <row r="14" spans="1:23" x14ac:dyDescent="0.3">
      <c r="A14" s="11" t="s">
        <v>17</v>
      </c>
      <c r="B14" s="9">
        <v>8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1</v>
      </c>
      <c r="N14" s="11">
        <v>1</v>
      </c>
      <c r="O14" s="11">
        <v>1</v>
      </c>
      <c r="P14" s="11">
        <v>1</v>
      </c>
      <c r="Q14" s="11">
        <v>1</v>
      </c>
      <c r="R14" s="11">
        <v>1</v>
      </c>
      <c r="S14" s="11">
        <v>1</v>
      </c>
      <c r="T14" s="11">
        <v>1</v>
      </c>
      <c r="U14" s="11">
        <v>0</v>
      </c>
      <c r="V14" s="11">
        <v>0</v>
      </c>
      <c r="W14" s="5">
        <f t="shared" si="0"/>
        <v>8</v>
      </c>
    </row>
    <row r="15" spans="1:23" x14ac:dyDescent="0.3">
      <c r="A15" s="11" t="s">
        <v>18</v>
      </c>
      <c r="B15" s="9">
        <v>8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1</v>
      </c>
      <c r="O15" s="11">
        <v>1</v>
      </c>
      <c r="P15" s="11">
        <v>1</v>
      </c>
      <c r="Q15" s="11">
        <v>1</v>
      </c>
      <c r="R15" s="11">
        <v>1</v>
      </c>
      <c r="S15" s="11">
        <v>1</v>
      </c>
      <c r="T15" s="11">
        <v>1</v>
      </c>
      <c r="U15" s="11">
        <v>1</v>
      </c>
      <c r="V15" s="11">
        <v>0</v>
      </c>
      <c r="W15" s="5">
        <f t="shared" si="0"/>
        <v>8</v>
      </c>
    </row>
    <row r="16" spans="1:23" x14ac:dyDescent="0.3">
      <c r="A16" s="11" t="s">
        <v>19</v>
      </c>
      <c r="B16" s="9">
        <v>8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1</v>
      </c>
      <c r="P16" s="11">
        <v>1</v>
      </c>
      <c r="Q16" s="11">
        <v>1</v>
      </c>
      <c r="R16" s="11">
        <v>1</v>
      </c>
      <c r="S16" s="11">
        <v>1</v>
      </c>
      <c r="T16" s="11">
        <v>1</v>
      </c>
      <c r="U16" s="11">
        <v>1</v>
      </c>
      <c r="V16" s="11">
        <v>1</v>
      </c>
      <c r="W16" s="5">
        <f t="shared" si="0"/>
        <v>8</v>
      </c>
    </row>
    <row r="17" spans="1:23" x14ac:dyDescent="0.3">
      <c r="A17" s="11" t="s">
        <v>20</v>
      </c>
      <c r="B17" s="9">
        <v>10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2</v>
      </c>
      <c r="Q17" s="11">
        <v>2</v>
      </c>
      <c r="R17" s="11">
        <v>2</v>
      </c>
      <c r="S17" s="11">
        <v>2</v>
      </c>
      <c r="T17" s="11">
        <v>2</v>
      </c>
      <c r="U17" s="11">
        <v>0</v>
      </c>
      <c r="V17" s="11">
        <v>0</v>
      </c>
      <c r="W17" s="5">
        <f t="shared" si="0"/>
        <v>10</v>
      </c>
    </row>
    <row r="18" spans="1:23" x14ac:dyDescent="0.3">
      <c r="A18" s="11" t="s">
        <v>21</v>
      </c>
      <c r="B18" s="9">
        <v>6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1</v>
      </c>
      <c r="Q18" s="11">
        <v>1</v>
      </c>
      <c r="R18" s="11">
        <v>1</v>
      </c>
      <c r="S18" s="11">
        <v>1</v>
      </c>
      <c r="T18" s="11">
        <v>1</v>
      </c>
      <c r="U18" s="11">
        <v>1</v>
      </c>
      <c r="V18" s="11">
        <v>0</v>
      </c>
      <c r="W18" s="5">
        <f t="shared" si="0"/>
        <v>6</v>
      </c>
    </row>
    <row r="19" spans="1:23" x14ac:dyDescent="0.3">
      <c r="A19" s="11" t="s">
        <v>22</v>
      </c>
      <c r="B19" s="9">
        <v>6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1</v>
      </c>
      <c r="R19" s="11">
        <v>1</v>
      </c>
      <c r="S19" s="11">
        <v>1</v>
      </c>
      <c r="T19" s="11">
        <v>1</v>
      </c>
      <c r="U19" s="11">
        <v>1</v>
      </c>
      <c r="V19" s="11">
        <v>1</v>
      </c>
      <c r="W19" s="5">
        <f t="shared" si="0"/>
        <v>6</v>
      </c>
    </row>
    <row r="20" spans="1:23" x14ac:dyDescent="0.3">
      <c r="A20" s="11" t="s">
        <v>23</v>
      </c>
      <c r="B20" s="9">
        <v>4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1</v>
      </c>
      <c r="S20" s="11">
        <v>1</v>
      </c>
      <c r="T20" s="11">
        <v>1</v>
      </c>
      <c r="U20" s="11">
        <v>1</v>
      </c>
      <c r="V20" s="11">
        <v>0</v>
      </c>
      <c r="W20" s="5">
        <f t="shared" si="0"/>
        <v>4</v>
      </c>
    </row>
    <row r="21" spans="1:23" x14ac:dyDescent="0.3">
      <c r="A21" s="11" t="s">
        <v>24</v>
      </c>
      <c r="B21" s="9">
        <v>4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1</v>
      </c>
      <c r="S21" s="11">
        <v>1</v>
      </c>
      <c r="T21" s="11">
        <v>1</v>
      </c>
      <c r="U21" s="11">
        <v>1</v>
      </c>
      <c r="V21" s="11">
        <v>0</v>
      </c>
      <c r="W21" s="5">
        <f t="shared" si="0"/>
        <v>4</v>
      </c>
    </row>
    <row r="22" spans="1:23" x14ac:dyDescent="0.3">
      <c r="A22" s="11" t="s">
        <v>25</v>
      </c>
      <c r="B22" s="9">
        <v>4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1</v>
      </c>
      <c r="S22" s="11">
        <v>1</v>
      </c>
      <c r="T22" s="11">
        <v>1</v>
      </c>
      <c r="U22" s="11">
        <v>1</v>
      </c>
      <c r="V22" s="11">
        <v>0</v>
      </c>
      <c r="W22" s="5">
        <f t="shared" si="0"/>
        <v>4</v>
      </c>
    </row>
    <row r="23" spans="1:23" x14ac:dyDescent="0.3">
      <c r="A23" s="11" t="s">
        <v>26</v>
      </c>
      <c r="B23" s="9">
        <v>4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1</v>
      </c>
      <c r="S23" s="11">
        <v>1</v>
      </c>
      <c r="T23" s="11">
        <v>1</v>
      </c>
      <c r="U23" s="11">
        <v>1</v>
      </c>
      <c r="V23" s="11">
        <v>0</v>
      </c>
      <c r="W23" s="5"/>
    </row>
    <row r="24" spans="1:23" x14ac:dyDescent="0.3">
      <c r="A24" s="11" t="s">
        <v>27</v>
      </c>
      <c r="B24" s="9">
        <v>4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1</v>
      </c>
      <c r="S24" s="11">
        <v>1</v>
      </c>
      <c r="T24" s="11">
        <v>1</v>
      </c>
      <c r="U24" s="11">
        <v>1</v>
      </c>
      <c r="V24" s="11">
        <v>0</v>
      </c>
      <c r="W24" s="6">
        <f>SUM(C24:V24)</f>
        <v>4</v>
      </c>
    </row>
    <row r="25" spans="1:23" x14ac:dyDescent="0.3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 x14ac:dyDescent="0.3">
      <c r="B26" s="7">
        <f>SUM(B5:B25)</f>
        <v>130</v>
      </c>
      <c r="C26" s="7">
        <f>B26</f>
        <v>130</v>
      </c>
      <c r="D26" s="7">
        <f t="shared" ref="D26:W26" si="1">C26-SUM(C5:C24)</f>
        <v>128</v>
      </c>
      <c r="E26" s="7">
        <f t="shared" si="1"/>
        <v>126</v>
      </c>
      <c r="F26" s="7">
        <f t="shared" si="1"/>
        <v>122</v>
      </c>
      <c r="G26" s="7">
        <f t="shared" si="1"/>
        <v>118</v>
      </c>
      <c r="H26" s="7">
        <f t="shared" si="1"/>
        <v>114</v>
      </c>
      <c r="I26" s="7">
        <f t="shared" si="1"/>
        <v>111</v>
      </c>
      <c r="J26" s="7">
        <f t="shared" si="1"/>
        <v>107</v>
      </c>
      <c r="K26" s="7">
        <f t="shared" si="1"/>
        <v>102</v>
      </c>
      <c r="L26" s="7">
        <f t="shared" si="1"/>
        <v>96</v>
      </c>
      <c r="M26" s="7">
        <f t="shared" si="1"/>
        <v>90</v>
      </c>
      <c r="N26" s="7">
        <f t="shared" si="1"/>
        <v>83</v>
      </c>
      <c r="O26" s="7">
        <f t="shared" si="1"/>
        <v>76</v>
      </c>
      <c r="P26" s="7">
        <f t="shared" si="1"/>
        <v>69</v>
      </c>
      <c r="Q26" s="7">
        <f t="shared" si="1"/>
        <v>60</v>
      </c>
      <c r="R26" s="7">
        <f t="shared" si="1"/>
        <v>50</v>
      </c>
      <c r="S26" s="7">
        <f t="shared" si="1"/>
        <v>37</v>
      </c>
      <c r="T26" s="7">
        <f t="shared" si="1"/>
        <v>24</v>
      </c>
      <c r="U26" s="7">
        <f t="shared" si="1"/>
        <v>11</v>
      </c>
      <c r="V26" s="7">
        <f t="shared" si="1"/>
        <v>2</v>
      </c>
      <c r="W26" s="7">
        <f t="shared" si="1"/>
        <v>0</v>
      </c>
    </row>
    <row r="27" spans="1:23" ht="28.8" x14ac:dyDescent="0.3">
      <c r="A27" s="8" t="s">
        <v>5</v>
      </c>
      <c r="B27">
        <f>C26</f>
        <v>130</v>
      </c>
      <c r="C27">
        <f t="shared" ref="C27:V27" si="2">D26</f>
        <v>128</v>
      </c>
      <c r="D27">
        <f t="shared" si="2"/>
        <v>126</v>
      </c>
      <c r="E27">
        <f t="shared" si="2"/>
        <v>122</v>
      </c>
      <c r="F27">
        <f t="shared" si="2"/>
        <v>118</v>
      </c>
      <c r="G27">
        <f t="shared" si="2"/>
        <v>114</v>
      </c>
      <c r="H27">
        <f t="shared" si="2"/>
        <v>111</v>
      </c>
      <c r="I27">
        <f t="shared" si="2"/>
        <v>107</v>
      </c>
      <c r="J27">
        <f t="shared" si="2"/>
        <v>102</v>
      </c>
      <c r="K27">
        <f t="shared" si="2"/>
        <v>96</v>
      </c>
      <c r="L27">
        <f t="shared" si="2"/>
        <v>90</v>
      </c>
      <c r="M27">
        <f t="shared" si="2"/>
        <v>83</v>
      </c>
      <c r="N27">
        <f t="shared" si="2"/>
        <v>76</v>
      </c>
      <c r="O27">
        <f t="shared" si="2"/>
        <v>69</v>
      </c>
      <c r="P27">
        <f t="shared" si="2"/>
        <v>60</v>
      </c>
      <c r="Q27">
        <f t="shared" si="2"/>
        <v>50</v>
      </c>
      <c r="R27">
        <f t="shared" si="2"/>
        <v>37</v>
      </c>
      <c r="S27">
        <f t="shared" si="2"/>
        <v>24</v>
      </c>
      <c r="T27">
        <f t="shared" si="2"/>
        <v>11</v>
      </c>
      <c r="U27">
        <f t="shared" si="2"/>
        <v>2</v>
      </c>
      <c r="V27">
        <f t="shared" si="2"/>
        <v>0</v>
      </c>
    </row>
    <row r="28" spans="1:23" x14ac:dyDescent="0.3">
      <c r="B28" s="7">
        <f>SUM(B5:B24)</f>
        <v>130</v>
      </c>
      <c r="C28" s="7">
        <f>SUM(B5:B24)</f>
        <v>130</v>
      </c>
      <c r="D28" s="7">
        <f t="shared" ref="D28:W28" si="3">C28-(SUM($B$5:$B$24)/20)</f>
        <v>123.5</v>
      </c>
      <c r="E28" s="7">
        <f t="shared" si="3"/>
        <v>117</v>
      </c>
      <c r="F28" s="7">
        <f t="shared" si="3"/>
        <v>110.5</v>
      </c>
      <c r="G28" s="7">
        <f t="shared" si="3"/>
        <v>104</v>
      </c>
      <c r="H28" s="7">
        <f t="shared" si="3"/>
        <v>97.5</v>
      </c>
      <c r="I28" s="7">
        <f t="shared" si="3"/>
        <v>91</v>
      </c>
      <c r="J28" s="7">
        <f t="shared" si="3"/>
        <v>84.5</v>
      </c>
      <c r="K28" s="7">
        <f t="shared" si="3"/>
        <v>78</v>
      </c>
      <c r="L28" s="7">
        <f t="shared" si="3"/>
        <v>71.5</v>
      </c>
      <c r="M28" s="7">
        <f t="shared" si="3"/>
        <v>65</v>
      </c>
      <c r="N28" s="7">
        <f t="shared" si="3"/>
        <v>58.5</v>
      </c>
      <c r="O28" s="7">
        <f t="shared" si="3"/>
        <v>52</v>
      </c>
      <c r="P28" s="7">
        <f t="shared" si="3"/>
        <v>45.5</v>
      </c>
      <c r="Q28" s="7">
        <f t="shared" si="3"/>
        <v>39</v>
      </c>
      <c r="R28" s="7">
        <f t="shared" si="3"/>
        <v>32.5</v>
      </c>
      <c r="S28" s="7">
        <f t="shared" si="3"/>
        <v>26</v>
      </c>
      <c r="T28" s="7">
        <f t="shared" si="3"/>
        <v>19.5</v>
      </c>
      <c r="U28" s="7">
        <f t="shared" si="3"/>
        <v>13</v>
      </c>
      <c r="V28" s="7">
        <f t="shared" si="3"/>
        <v>6.5</v>
      </c>
      <c r="W28" s="7">
        <f t="shared" si="3"/>
        <v>0</v>
      </c>
    </row>
    <row r="29" spans="1:23" ht="28.8" x14ac:dyDescent="0.3">
      <c r="A29" s="8" t="s">
        <v>6</v>
      </c>
      <c r="B29" s="10">
        <f>B28</f>
        <v>130</v>
      </c>
      <c r="C29" s="10">
        <f>D28</f>
        <v>123.5</v>
      </c>
      <c r="D29" s="10">
        <f t="shared" ref="D29:V29" si="4">E28</f>
        <v>117</v>
      </c>
      <c r="E29" s="10">
        <f t="shared" si="4"/>
        <v>110.5</v>
      </c>
      <c r="F29" s="10">
        <f t="shared" si="4"/>
        <v>104</v>
      </c>
      <c r="G29" s="10">
        <f t="shared" si="4"/>
        <v>97.5</v>
      </c>
      <c r="H29" s="10">
        <f t="shared" si="4"/>
        <v>91</v>
      </c>
      <c r="I29" s="10">
        <f t="shared" si="4"/>
        <v>84.5</v>
      </c>
      <c r="J29" s="10">
        <f t="shared" si="4"/>
        <v>78</v>
      </c>
      <c r="K29" s="10">
        <f t="shared" si="4"/>
        <v>71.5</v>
      </c>
      <c r="L29" s="10">
        <f t="shared" si="4"/>
        <v>65</v>
      </c>
      <c r="M29" s="10">
        <f t="shared" si="4"/>
        <v>58.5</v>
      </c>
      <c r="N29" s="10">
        <f t="shared" si="4"/>
        <v>52</v>
      </c>
      <c r="O29" s="10">
        <f t="shared" si="4"/>
        <v>45.5</v>
      </c>
      <c r="P29" s="10">
        <f t="shared" si="4"/>
        <v>39</v>
      </c>
      <c r="Q29" s="10">
        <f t="shared" si="4"/>
        <v>32.5</v>
      </c>
      <c r="R29" s="10">
        <f t="shared" si="4"/>
        <v>26</v>
      </c>
      <c r="S29" s="10">
        <f t="shared" si="4"/>
        <v>19.5</v>
      </c>
      <c r="T29" s="10">
        <f t="shared" si="4"/>
        <v>13</v>
      </c>
      <c r="U29" s="10">
        <f t="shared" si="4"/>
        <v>6.5</v>
      </c>
      <c r="V29" s="10">
        <f t="shared" si="4"/>
        <v>0</v>
      </c>
      <c r="W29" s="10"/>
    </row>
    <row r="30" spans="1:23" x14ac:dyDescent="0.3">
      <c r="B30" s="1"/>
    </row>
    <row r="31" spans="1:23" x14ac:dyDescent="0.3">
      <c r="B31" s="1"/>
      <c r="G31" s="1"/>
    </row>
    <row r="32" spans="1:23" x14ac:dyDescent="0.3">
      <c r="B32" s="1"/>
      <c r="G32" s="1"/>
    </row>
    <row r="33" spans="2:7" x14ac:dyDescent="0.3">
      <c r="B33" s="1"/>
      <c r="G33" s="1"/>
    </row>
    <row r="34" spans="2:7" x14ac:dyDescent="0.3">
      <c r="B34" s="1"/>
      <c r="G34" s="1"/>
    </row>
    <row r="35" spans="2:7" x14ac:dyDescent="0.3">
      <c r="B35" s="1"/>
      <c r="G35" s="1"/>
    </row>
    <row r="36" spans="2:7" x14ac:dyDescent="0.3">
      <c r="B36" s="1"/>
      <c r="G36" s="1"/>
    </row>
    <row r="37" spans="2:7" x14ac:dyDescent="0.3">
      <c r="B37" s="1"/>
    </row>
    <row r="38" spans="2:7" x14ac:dyDescent="0.3">
      <c r="B38" s="1"/>
    </row>
    <row r="39" spans="2:7" x14ac:dyDescent="0.3">
      <c r="B39" s="1"/>
    </row>
  </sheetData>
  <sheetProtection algorithmName="SHA-512" hashValue="5OIk9NT/l72X9O37hLkmuPoe78vkRiP53QMM8hUhbHcf6SLSob7Tx4x2xW4Zf0lUb+yD1Pf3fdMYKkCAvz674g==" saltValue="uq7tf/aez4+adURQiHXj1g==" spinCount="100000" sheet="1" objects="1" scenarios="1" formatCells="0" formatColumns="0" formatRows="0" insertRows="0" deleteRows="0" selectLockedCells="1"/>
  <mergeCells count="4">
    <mergeCell ref="C3:V3"/>
    <mergeCell ref="B3:B4"/>
    <mergeCell ref="A3:A4"/>
    <mergeCell ref="W3:W4"/>
  </mergeCells>
  <phoneticPr fontId="3" type="noConversion"/>
  <pageMargins left="0.7" right="0.7" top="0.75" bottom="0.75" header="0.3" footer="0.3"/>
  <pageSetup orientation="portrait" r:id="rId1"/>
  <ignoredErrors>
    <ignoredError sqref="D26:W26" formulaRange="1"/>
    <ignoredError sqref="C28:V28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CLAUDIO ANDRES gonzalez valladares</cp:lastModifiedBy>
  <dcterms:created xsi:type="dcterms:W3CDTF">2018-02-12T12:05:26Z</dcterms:created>
  <dcterms:modified xsi:type="dcterms:W3CDTF">2026-04-12T01:33:23Z</dcterms:modified>
</cp:coreProperties>
</file>